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Monthly Budget &amp; KPI Projection" sheetId="2" state="visible" r:id="rId2"/>
  </sheets>
  <definedNames/>
  <calcPr calcId="124519" fullCalcOnLoad="1"/>
</workbook>
</file>

<file path=xl/styles.xml><?xml version="1.0" encoding="utf-8"?>
<styleSheet xmlns="http://schemas.openxmlformats.org/spreadsheetml/2006/main">
  <numFmts count="1">
    <numFmt numFmtId="164" formatCode="&quot;$&quot;#,##0.00"/>
  </numFmts>
  <fonts count="14">
    <font>
      <name val="Arial"/>
      <color rgb="FF000000"/>
      <sz val="10"/>
      <scheme val="minor"/>
    </font>
    <font>
      <name val="Arial"/>
      <b val="1"/>
      <color theme="1"/>
      <sz val="8"/>
    </font>
    <font>
      <name val="Arial"/>
      <i val="1"/>
      <color theme="1"/>
      <sz val="8"/>
    </font>
    <font/>
    <font>
      <name val="Arial"/>
      <b val="1"/>
      <color rgb="FFFFFFFF"/>
    </font>
    <font>
      <name val="Arial"/>
      <i val="1"/>
      <color theme="1"/>
      <sz val="8"/>
      <scheme val="minor"/>
    </font>
    <font>
      <name val="Arial"/>
      <color theme="1"/>
      <sz val="8"/>
      <scheme val="minor"/>
    </font>
    <font>
      <name val="Arial"/>
      <color theme="1"/>
      <scheme val="minor"/>
    </font>
    <font>
      <name val="Arial"/>
      <b val="1"/>
      <color theme="1"/>
      <scheme val="minor"/>
    </font>
    <font>
      <name val="Arial"/>
      <b val="1"/>
      <color rgb="FF000000"/>
    </font>
    <font>
      <name val="Arial"/>
      <i val="1"/>
      <color rgb="FF000000"/>
    </font>
    <font>
      <name val="Arial"/>
      <b val="1"/>
      <color theme="1"/>
    </font>
    <font>
      <name val="Arial"/>
      <i val="1"/>
      <color theme="1"/>
    </font>
    <font>
      <name val="Arial"/>
      <color theme="1"/>
    </font>
  </fonts>
  <fills count="10">
    <fill>
      <patternFill/>
    </fill>
    <fill>
      <patternFill patternType="lightGray"/>
    </fill>
    <fill>
      <patternFill patternType="solid">
        <fgColor rgb="FFFFFFFF"/>
        <bgColor rgb="FFFFFFFF"/>
      </patternFill>
    </fill>
    <fill>
      <patternFill patternType="solid">
        <fgColor rgb="FF14284B"/>
        <bgColor rgb="FF14284B"/>
      </patternFill>
    </fill>
    <fill>
      <patternFill patternType="solid">
        <fgColor rgb="FFB7B7B7"/>
        <bgColor rgb="FFB7B7B7"/>
      </patternFill>
    </fill>
    <fill>
      <patternFill patternType="solid">
        <fgColor rgb="FFFFFF00"/>
        <bgColor rgb="FFFFFF00"/>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FFF2CC"/>
        <bgColor rgb="FFFFF2CC"/>
      </patternFill>
    </fill>
  </fills>
  <borders count="31">
    <border/>
    <border>
      <left style="thin">
        <color rgb="FF000000"/>
      </left>
      <right style="hair">
        <color rgb="FF000000"/>
      </righ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hair">
        <color rgb="FF000000"/>
      </right>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right style="hair">
        <color rgb="FF000000"/>
      </right>
    </border>
    <border>
      <left style="hair">
        <color rgb="FF000000"/>
      </left>
      <right style="hair">
        <color rgb="FF000000"/>
      </right>
    </border>
    <border>
      <left style="hair">
        <color rgb="FF000000"/>
      </left>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top style="thin">
        <color rgb="FF000000"/>
      </top>
    </border>
    <border>
      <right style="thin">
        <color rgb="FF000000"/>
      </right>
      <top style="thin">
        <color rgb="FF000000"/>
      </top>
    </border>
    <border>
      <top style="hair">
        <color rgb="FF000000"/>
      </top>
    </border>
    <border>
      <right style="thin">
        <color rgb="FF000000"/>
      </right>
      <top style="hair">
        <color rgb="FF000000"/>
      </top>
    </border>
  </borders>
  <cellStyleXfs count="1">
    <xf numFmtId="0" fontId="0" fillId="0" borderId="0"/>
  </cellStyleXfs>
  <cellXfs count="67">
    <xf numFmtId="0" fontId="0" fillId="0" borderId="0" applyAlignment="1" pivotButton="0" quotePrefix="0" xfId="0">
      <alignment vertical="bottom"/>
    </xf>
    <xf numFmtId="0" fontId="1" fillId="2" borderId="1" pivotButton="0" quotePrefix="0" xfId="0"/>
    <xf numFmtId="0" fontId="2" fillId="2" borderId="2" applyAlignment="1" pivotButton="0" quotePrefix="0" xfId="0">
      <alignment horizontal="center" wrapText="1"/>
    </xf>
    <xf numFmtId="0" fontId="3" fillId="0" borderId="2" pivotButton="0" quotePrefix="0" xfId="0"/>
    <xf numFmtId="0" fontId="3" fillId="0" borderId="3" pivotButton="0" quotePrefix="0" xfId="0"/>
    <xf numFmtId="0" fontId="1" fillId="2" borderId="4" pivotButton="0" quotePrefix="0" xfId="0"/>
    <xf numFmtId="0" fontId="2" fillId="2" borderId="5" applyAlignment="1" pivotButton="0" quotePrefix="0" xfId="0">
      <alignment horizontal="center" wrapText="1"/>
    </xf>
    <xf numFmtId="0" fontId="3" fillId="0" borderId="5" pivotButton="0" quotePrefix="0" xfId="0"/>
    <xf numFmtId="0" fontId="3" fillId="0" borderId="6" pivotButton="0" quotePrefix="0" xfId="0"/>
    <xf numFmtId="0" fontId="1" fillId="2" borderId="4" pivotButton="0" quotePrefix="0" xfId="0"/>
    <xf numFmtId="0" fontId="1" fillId="2" borderId="7" pivotButton="0" quotePrefix="0" xfId="0"/>
    <xf numFmtId="0" fontId="2" fillId="2" borderId="8" applyAlignment="1" pivotButton="0" quotePrefix="0" xfId="0">
      <alignment horizontal="center" wrapText="1"/>
    </xf>
    <xf numFmtId="0" fontId="3" fillId="0" borderId="8" pivotButton="0" quotePrefix="0" xfId="0"/>
    <xf numFmtId="0" fontId="3" fillId="0" borderId="9" pivotButton="0" quotePrefix="0" xfId="0"/>
    <xf numFmtId="0" fontId="1" fillId="2" borderId="0" pivotButton="0" quotePrefix="0" xfId="0"/>
    <xf numFmtId="0" fontId="2" fillId="2" borderId="0" applyAlignment="1" pivotButton="0" quotePrefix="0" xfId="0">
      <alignment horizontal="center" wrapText="1"/>
    </xf>
    <xf numFmtId="0" fontId="4" fillId="3" borderId="0" applyAlignment="1" pivotButton="0" quotePrefix="0" xfId="0">
      <alignment horizontal="center" vertical="center"/>
    </xf>
    <xf numFmtId="0" fontId="4" fillId="3" borderId="0" applyAlignment="1" pivotButton="0" quotePrefix="0" xfId="0">
      <alignment horizontal="center" vertical="center"/>
    </xf>
    <xf numFmtId="0" fontId="5" fillId="0" borderId="1" applyAlignment="1" pivotButton="0" quotePrefix="0" xfId="0">
      <alignment vertical="top"/>
    </xf>
    <xf numFmtId="0" fontId="5" fillId="0" borderId="10" applyAlignment="1" pivotButton="0" quotePrefix="0" xfId="0">
      <alignment vertical="top" wrapText="1"/>
    </xf>
    <xf numFmtId="164" fontId="6" fillId="0" borderId="10" applyAlignment="1" pivotButton="0" quotePrefix="0" xfId="0">
      <alignment vertical="top"/>
    </xf>
    <xf numFmtId="0" fontId="5" fillId="0" borderId="10" applyAlignment="1" pivotButton="0" quotePrefix="0" xfId="0">
      <alignment vertical="top"/>
    </xf>
    <xf numFmtId="0" fontId="5" fillId="0" borderId="11" applyAlignment="1" pivotButton="0" quotePrefix="0" xfId="0">
      <alignment vertical="top"/>
    </xf>
    <xf numFmtId="0" fontId="7" fillId="0" borderId="12" pivotButton="0" quotePrefix="0" xfId="0"/>
    <xf numFmtId="0" fontId="7" fillId="0" borderId="13" pivotButton="0" quotePrefix="0" xfId="0"/>
    <xf numFmtId="164" fontId="7" fillId="0" borderId="13" pivotButton="0" quotePrefix="0" xfId="0"/>
    <xf numFmtId="0" fontId="7" fillId="0" borderId="14" pivotButton="0" quotePrefix="0" xfId="0"/>
    <xf numFmtId="0" fontId="7" fillId="0" borderId="12" pivotButton="0" quotePrefix="0" xfId="0"/>
    <xf numFmtId="0" fontId="7" fillId="0" borderId="15" pivotButton="0" quotePrefix="0" xfId="0"/>
    <xf numFmtId="0" fontId="7" fillId="0" borderId="16" pivotButton="0" quotePrefix="0" xfId="0"/>
    <xf numFmtId="164" fontId="7" fillId="0" borderId="16" pivotButton="0" quotePrefix="0" xfId="0"/>
    <xf numFmtId="0" fontId="7" fillId="0" borderId="17" pivotButton="0" quotePrefix="0" xfId="0"/>
    <xf numFmtId="0" fontId="4" fillId="4" borderId="18" applyAlignment="1" pivotButton="0" quotePrefix="0" xfId="0">
      <alignment horizontal="center" vertical="center"/>
    </xf>
    <xf numFmtId="0" fontId="4" fillId="4" borderId="19" applyAlignment="1" pivotButton="0" quotePrefix="0" xfId="0">
      <alignment horizontal="center" vertical="center"/>
    </xf>
    <xf numFmtId="164" fontId="4" fillId="4" borderId="19" applyAlignment="1" pivotButton="0" quotePrefix="0" xfId="0">
      <alignment horizontal="center" vertical="center"/>
    </xf>
    <xf numFmtId="0" fontId="4" fillId="4" borderId="20" applyAlignment="1" pivotButton="0" quotePrefix="0" xfId="0">
      <alignment horizontal="center" vertical="center"/>
    </xf>
    <xf numFmtId="0" fontId="8" fillId="5" borderId="0" applyAlignment="1" pivotButton="0" quotePrefix="0" xfId="0">
      <alignment vertical="center" wrapText="1"/>
    </xf>
    <xf numFmtId="0" fontId="4" fillId="3" borderId="0" applyAlignment="1" pivotButton="0" quotePrefix="0" xfId="0">
      <alignment horizontal="center" vertical="bottom"/>
    </xf>
    <xf numFmtId="0" fontId="9" fillId="6" borderId="0" applyAlignment="1" pivotButton="0" quotePrefix="0" xfId="0">
      <alignment horizontal="center" vertical="bottom"/>
    </xf>
    <xf numFmtId="0" fontId="9" fillId="6" borderId="21" applyAlignment="1" pivotButton="0" quotePrefix="0" xfId="0">
      <alignment horizontal="center" vertical="bottom"/>
    </xf>
    <xf numFmtId="0" fontId="7" fillId="0" borderId="22" pivotButton="0" quotePrefix="0" xfId="0"/>
    <xf numFmtId="0" fontId="9" fillId="7" borderId="0" applyAlignment="1" pivotButton="0" quotePrefix="0" xfId="0">
      <alignment horizontal="center" vertical="bottom"/>
    </xf>
    <xf numFmtId="0" fontId="10" fillId="7" borderId="0" applyAlignment="1" pivotButton="0" quotePrefix="0" xfId="0">
      <alignment horizontal="center" vertical="bottom"/>
    </xf>
    <xf numFmtId="0" fontId="10" fillId="7" borderId="22" applyAlignment="1" pivotButton="0" quotePrefix="0" xfId="0">
      <alignment horizontal="center" vertical="bottom"/>
    </xf>
    <xf numFmtId="0" fontId="11" fillId="8" borderId="0" applyAlignment="1" pivotButton="0" quotePrefix="0" xfId="0">
      <alignment horizontal="center"/>
    </xf>
    <xf numFmtId="0" fontId="7" fillId="8" borderId="0" applyAlignment="1" pivotButton="0" quotePrefix="0" xfId="0">
      <alignment horizontal="center"/>
    </xf>
    <xf numFmtId="0" fontId="7" fillId="8" borderId="22" applyAlignment="1" pivotButton="0" quotePrefix="0" xfId="0">
      <alignment horizontal="center"/>
    </xf>
    <xf numFmtId="0" fontId="12" fillId="0" borderId="0" applyAlignment="1" pivotButton="0" quotePrefix="0" xfId="0">
      <alignment horizontal="center"/>
    </xf>
    <xf numFmtId="0" fontId="7" fillId="0" borderId="0" applyAlignment="1" pivotButton="0" quotePrefix="0" xfId="0">
      <alignment horizontal="center"/>
    </xf>
    <xf numFmtId="0" fontId="7" fillId="0" borderId="22" applyAlignment="1" pivotButton="0" quotePrefix="0" xfId="0">
      <alignment horizontal="center"/>
    </xf>
    <xf numFmtId="0" fontId="7" fillId="9" borderId="23" applyAlignment="1" pivotButton="0" quotePrefix="0" xfId="0">
      <alignment horizontal="center"/>
    </xf>
    <xf numFmtId="0" fontId="9" fillId="7" borderId="24" applyAlignment="1" pivotButton="0" quotePrefix="0" xfId="0">
      <alignment horizontal="center" vertical="bottom"/>
    </xf>
    <xf numFmtId="0" fontId="13" fillId="0" borderId="0" applyAlignment="1" pivotButton="0" quotePrefix="0" xfId="0">
      <alignment vertical="bottom"/>
    </xf>
    <xf numFmtId="0" fontId="7" fillId="6" borderId="0" applyAlignment="1" pivotButton="0" quotePrefix="0" xfId="0">
      <alignment horizontal="center"/>
    </xf>
    <xf numFmtId="0" fontId="7" fillId="6" borderId="25" applyAlignment="1" pivotButton="0" quotePrefix="0" xfId="0">
      <alignment horizontal="center"/>
    </xf>
    <xf numFmtId="0" fontId="7" fillId="6" borderId="0" applyAlignment="1" pivotButton="0" quotePrefix="0" xfId="0">
      <alignment horizontal="center"/>
    </xf>
    <xf numFmtId="0" fontId="7" fillId="6" borderId="26" applyAlignment="1" pivotButton="0" quotePrefix="0" xfId="0">
      <alignment horizontal="center"/>
    </xf>
    <xf numFmtId="0" fontId="0" fillId="0" borderId="0" pivotButton="0" quotePrefix="0" xfId="0"/>
    <xf numFmtId="0" fontId="2" fillId="2" borderId="3" applyAlignment="1" pivotButton="0" quotePrefix="0" xfId="0">
      <alignment horizontal="center" wrapText="1"/>
    </xf>
    <xf numFmtId="0" fontId="0" fillId="0" borderId="2" pivotButton="0" quotePrefix="0" xfId="0"/>
    <xf numFmtId="0" fontId="0" fillId="0" borderId="3" pivotButton="0" quotePrefix="0" xfId="0"/>
    <xf numFmtId="0" fontId="2" fillId="2" borderId="6" applyAlignment="1" pivotButton="0" quotePrefix="0" xfId="0">
      <alignment horizontal="center" wrapText="1"/>
    </xf>
    <xf numFmtId="0" fontId="0" fillId="0" borderId="5" pivotButton="0" quotePrefix="0" xfId="0"/>
    <xf numFmtId="0" fontId="0" fillId="0" borderId="6" pivotButton="0" quotePrefix="0" xfId="0"/>
    <xf numFmtId="0" fontId="2" fillId="2" borderId="9" applyAlignment="1" pivotButton="0" quotePrefix="0" xfId="0">
      <alignment horizontal="center" wrapText="1"/>
    </xf>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D9D2E9"/>
    <outlinePr summaryBelow="0" summaryRight="0"/>
    <pageSetUpPr/>
  </sheetPr>
  <dimension ref="B2:F24"/>
  <sheetViews>
    <sheetView showGridLines="0" workbookViewId="0">
      <selection activeCell="A1" sqref="A1"/>
    </sheetView>
  </sheetViews>
  <sheetFormatPr baseColWidth="8" defaultColWidth="12.63" defaultRowHeight="15.75" customHeight="1"/>
  <cols>
    <col width="25.25" customWidth="1" style="57" min="2" max="2"/>
    <col width="27.63" customWidth="1" style="57" min="3" max="3"/>
    <col width="19.63" customWidth="1" style="57" min="4" max="4"/>
    <col width="25.13" customWidth="1" style="57" min="5" max="5"/>
    <col width="50.38" customWidth="1" style="57" min="6" max="6"/>
  </cols>
  <sheetData>
    <row r="2">
      <c r="B2" s="1" t="inlineStr">
        <is>
          <t>COMPANY NAME</t>
        </is>
      </c>
      <c r="C2" s="58" t="inlineStr">
        <is>
          <t>AnchorVault</t>
        </is>
      </c>
      <c r="D2" s="59" t="n"/>
      <c r="E2" s="60" t="n"/>
    </row>
    <row r="3">
      <c r="B3" s="9" t="inlineStr">
        <is>
          <t>TARGET MARKET</t>
        </is>
      </c>
      <c r="C3" s="61" t="inlineStr">
        <is>
          <t>Global (focused on North America to Latin America, Africa, and Southeast Asia corridors)</t>
        </is>
      </c>
      <c r="D3" s="62" t="n"/>
      <c r="E3" s="63" t="n"/>
    </row>
    <row r="4">
      <c r="B4" s="9" t="inlineStr">
        <is>
          <t>MARKETING PLAN DURATION</t>
        </is>
      </c>
      <c r="C4" s="61" t="inlineStr">
        <is>
          <t>3 months</t>
        </is>
      </c>
      <c r="D4" s="62" t="n"/>
      <c r="E4" s="63" t="n"/>
    </row>
    <row r="5">
      <c r="B5" s="9" t="inlineStr">
        <is>
          <t>CURRENT TOTAL MARKETING SPEND</t>
        </is>
      </c>
      <c r="C5" s="61" t="n">
        <v>0</v>
      </c>
      <c r="D5" s="62" t="n"/>
      <c r="E5" s="63" t="n"/>
    </row>
    <row r="6">
      <c r="B6" s="9" t="inlineStr">
        <is>
          <t>TOTAL BUDGET REQUESTED</t>
        </is>
      </c>
      <c r="C6" s="61" t="n">
        <v>15000</v>
      </c>
      <c r="D6" s="62" t="n"/>
      <c r="E6" s="63" t="n"/>
    </row>
    <row r="7">
      <c r="B7" s="9" t="inlineStr">
        <is>
          <t>TARGET AUDIENCE</t>
        </is>
      </c>
      <c r="C7" s="61" t="inlineStr">
        <is>
          <t>Businesses (Stellar Payment Anchors) &amp; Consumers (DeFi LPs / Yield Farmers)</t>
        </is>
      </c>
      <c r="D7" s="62" t="n"/>
      <c r="E7" s="63" t="n"/>
    </row>
    <row r="8">
      <c r="B8" s="10" t="inlineStr">
        <is>
          <t>TARGET KPIs</t>
        </is>
      </c>
      <c r="C8" s="64" t="inlineStr">
        <is>
          <t>Total Value Locked (TVL), Onboarded Payment Anchors, Active LP Wallets, Transaction Volume Settled (USD), CAC</t>
        </is>
      </c>
      <c r="D8" s="65" t="n"/>
      <c r="E8" s="66" t="n"/>
    </row>
    <row r="9">
      <c r="B9" s="14" t="n"/>
      <c r="C9" s="15" t="n"/>
      <c r="D9" s="15" t="n"/>
      <c r="E9" s="15" t="n"/>
    </row>
    <row r="13">
      <c r="B13" s="17" t="inlineStr">
        <is>
          <t>Channel / Initiative</t>
        </is>
      </c>
      <c r="C13" s="17" t="inlineStr">
        <is>
          <t>Target Audience</t>
        </is>
      </c>
      <c r="D13" s="17" t="inlineStr">
        <is>
          <t>Budget (in USD)</t>
        </is>
      </c>
      <c r="E13" s="17" t="inlineStr">
        <is>
          <t>Timeline</t>
        </is>
      </c>
      <c r="F13" s="17" t="inlineStr">
        <is>
          <t>Projected Measurable Results (# of users, transaction volume)</t>
        </is>
      </c>
    </row>
    <row r="14">
      <c r="B14" s="18" t="inlineStr">
        <is>
          <t>eg. events, paid media...etc</t>
        </is>
      </c>
      <c r="C14" s="19" t="inlineStr">
        <is>
          <t>new users, existing customers, or even specific audience segments per channel</t>
        </is>
      </c>
      <c r="D14" s="20" t="n"/>
      <c r="E14" s="21" t="inlineStr">
        <is>
          <t>How many months will this be live for?</t>
        </is>
      </c>
      <c r="F14" s="22" t="inlineStr">
        <is>
          <t>What are you looking to achieve based on KPIs you measure as a business?</t>
        </is>
      </c>
    </row>
    <row r="15">
      <c r="B15" s="27" t="inlineStr">
        <is>
          <t>LP Liquidity Mining Campaign (Retail DeFi)</t>
        </is>
      </c>
      <c r="C15" s="24" t="inlineStr">
        <is>
          <t>USDC Holders / Yield Farmers / Stellar Wallet Users</t>
        </is>
      </c>
      <c r="D15" s="25">
        <f>'Monthly Budget &amp; KPI Projection'!I8</f>
        <v/>
      </c>
      <c r="E15" s="24" t="inlineStr">
        <is>
          <t>Month 1 - Month 3</t>
        </is>
      </c>
      <c r="F15" s="26" t="inlineStr">
        <is>
          <t>150+ unique active depositors, $50,000+ TVL in CoreVault</t>
        </is>
      </c>
    </row>
    <row r="16">
      <c r="B16" s="27" t="inlineStr">
        <is>
          <t>B2B Payment Anchor Outreach &amp; Integration Webinars</t>
        </is>
      </c>
      <c r="C16" s="24" t="inlineStr">
        <is>
          <t>Licensed Off-Ramp Payment Anchors &amp; Fintechs</t>
        </is>
      </c>
      <c r="D16" s="25">
        <f>'Monthly Budget &amp; KPI Projection'!I19</f>
        <v/>
      </c>
      <c r="E16" s="24" t="inlineStr">
        <is>
          <t>Month 1 - Month 3</t>
        </is>
      </c>
      <c r="F16" s="26" t="inlineStr">
        <is>
          <t>3-5 active anchors onboarded, $250k+ transaction volume routed</t>
        </is>
      </c>
    </row>
    <row r="17">
      <c r="B17" s="27" t="inlineStr">
        <is>
          <t>DeFi &amp; Soroban Integration PR &amp; Content Marketing</t>
        </is>
      </c>
      <c r="C17" s="24" t="inlineStr">
        <is>
          <t>Stellar Developers, Web3 Community, Fintech Builders</t>
        </is>
      </c>
      <c r="D17" s="25">
        <f>'Monthly Budget &amp; KPI Projection'!I30</f>
        <v/>
      </c>
      <c r="E17" s="24" t="inlineStr">
        <is>
          <t>Month 1 - Month 3</t>
        </is>
      </c>
      <c r="F17" s="26" t="inlineStr">
        <is>
          <t>2,000+ community members, 25k+ video views, press coverage</t>
        </is>
      </c>
    </row>
    <row r="18">
      <c r="B18" s="27" t="n"/>
      <c r="C18" s="24" t="n"/>
      <c r="D18" s="25" t="n"/>
      <c r="E18" s="24" t="n"/>
      <c r="F18" s="26" t="n"/>
    </row>
    <row r="19">
      <c r="B19" s="27" t="n"/>
      <c r="C19" s="24" t="n"/>
      <c r="D19" s="25" t="n"/>
      <c r="E19" s="24" t="n"/>
      <c r="F19" s="26" t="n"/>
    </row>
    <row r="20">
      <c r="B20" s="27" t="n"/>
      <c r="C20" s="24" t="n"/>
      <c r="D20" s="25" t="n"/>
      <c r="E20" s="24" t="n"/>
      <c r="F20" s="26" t="n"/>
    </row>
    <row r="21">
      <c r="B21" s="27" t="n"/>
      <c r="C21" s="24" t="n"/>
      <c r="D21" s="25" t="n"/>
      <c r="E21" s="24" t="n"/>
      <c r="F21" s="26" t="n"/>
    </row>
    <row r="22">
      <c r="B22" s="27" t="n"/>
      <c r="C22" s="24" t="n"/>
      <c r="D22" s="25" t="n"/>
      <c r="E22" s="24" t="n"/>
      <c r="F22" s="26" t="n"/>
    </row>
    <row r="23">
      <c r="B23" s="28" t="n"/>
      <c r="C23" s="29" t="n"/>
      <c r="D23" s="30" t="n"/>
      <c r="E23" s="29" t="n"/>
      <c r="F23" s="31" t="n"/>
    </row>
    <row r="24">
      <c r="B24" s="32" t="inlineStr">
        <is>
          <t>Total</t>
        </is>
      </c>
      <c r="C24" s="33" t="inlineStr"/>
      <c r="D24" s="34">
        <f>SUM(D15:D17)</f>
        <v/>
      </c>
      <c r="E24" s="33" t="inlineStr"/>
      <c r="F24" s="35" t="n"/>
    </row>
  </sheetData>
  <mergeCells count="7">
    <mergeCell ref="C2:E2"/>
    <mergeCell ref="C5:E5"/>
    <mergeCell ref="C8:E8"/>
    <mergeCell ref="C4:E4"/>
    <mergeCell ref="C3:E3"/>
    <mergeCell ref="C7:E7"/>
    <mergeCell ref="C6:E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2:R51"/>
  <sheetViews>
    <sheetView showGridLines="0" workbookViewId="0">
      <selection activeCell="A1" sqref="A1"/>
    </sheetView>
  </sheetViews>
  <sheetFormatPr baseColWidth="8" defaultColWidth="12.63" defaultRowHeight="15.75" customHeight="1"/>
  <cols>
    <col width="40.5" customWidth="1" style="57" min="2" max="2"/>
    <col width="15" customWidth="1" style="57" min="3" max="3"/>
    <col width="24" customWidth="1" style="57" min="11" max="11"/>
  </cols>
  <sheetData>
    <row r="2">
      <c r="B2" s="36" t="inlineStr">
        <is>
          <t xml:space="preserve">Feel free to add line items under each of the main initiatives as you see fit </t>
        </is>
      </c>
    </row>
    <row r="3"/>
    <row r="5">
      <c r="B5" s="37" t="inlineStr">
        <is>
          <t>Marketing Initiatives/Channels Budget</t>
        </is>
      </c>
      <c r="K5" s="37" t="inlineStr">
        <is>
          <t>Marketing Resources Budget</t>
        </is>
      </c>
    </row>
    <row r="6">
      <c r="B6" s="38" t="inlineStr">
        <is>
          <t>Initiative</t>
        </is>
      </c>
      <c r="C6" s="38" t="inlineStr">
        <is>
          <t>Month 1</t>
        </is>
      </c>
      <c r="D6" s="38" t="inlineStr">
        <is>
          <t>Month 2</t>
        </is>
      </c>
      <c r="E6" s="38" t="inlineStr">
        <is>
          <t>Month 3</t>
        </is>
      </c>
      <c r="F6" s="38" t="inlineStr">
        <is>
          <t>Month 4</t>
        </is>
      </c>
      <c r="G6" s="38" t="inlineStr">
        <is>
          <t>Month 5</t>
        </is>
      </c>
      <c r="H6" s="38" t="inlineStr">
        <is>
          <t>Month 6</t>
        </is>
      </c>
      <c r="I6" s="39" t="inlineStr">
        <is>
          <t>Total</t>
        </is>
      </c>
      <c r="K6" s="38" t="inlineStr">
        <is>
          <t>Resource</t>
        </is>
      </c>
      <c r="L6" s="38" t="inlineStr">
        <is>
          <t>Month 1</t>
        </is>
      </c>
      <c r="M6" s="38" t="inlineStr">
        <is>
          <t>Month 2</t>
        </is>
      </c>
      <c r="N6" s="38" t="inlineStr">
        <is>
          <t>Month 3</t>
        </is>
      </c>
      <c r="O6" s="38" t="inlineStr">
        <is>
          <t>Month 4</t>
        </is>
      </c>
      <c r="P6" s="38" t="inlineStr">
        <is>
          <t>Month 5</t>
        </is>
      </c>
      <c r="Q6" s="38" t="inlineStr">
        <is>
          <t>Month 6</t>
        </is>
      </c>
      <c r="R6" s="39" t="inlineStr">
        <is>
          <t>Total</t>
        </is>
      </c>
    </row>
    <row r="7">
      <c r="I7" s="40" t="n"/>
      <c r="R7" s="40" t="n"/>
    </row>
    <row r="8">
      <c r="B8" s="41" t="inlineStr">
        <is>
          <t>Initiative 1: LP Liquidity Mining Campaign (Retail DeFi)</t>
        </is>
      </c>
      <c r="C8" s="42">
        <f>C10+C11+C13+C14+C16+C17</f>
        <v/>
      </c>
      <c r="D8" s="42">
        <f>D10+D11+D13+D14+D16+D17</f>
        <v/>
      </c>
      <c r="E8" s="42">
        <f>E10+E11+E13+E14+E16+E17</f>
        <v/>
      </c>
      <c r="F8" s="42">
        <f>F10+F11+F13+F14+F16+F17</f>
        <v/>
      </c>
      <c r="G8" s="42">
        <f>G10+G11+G13+G14+G16+G17</f>
        <v/>
      </c>
      <c r="H8" s="42">
        <f>H10+H11+H13+H14+H16+H17</f>
        <v/>
      </c>
      <c r="I8" s="43">
        <f>SUM(C8:H8)</f>
        <v/>
      </c>
      <c r="K8" s="44" t="inlineStr">
        <is>
          <t>Content Creator / Video Editor</t>
        </is>
      </c>
      <c r="L8" s="44" t="n">
        <v>500</v>
      </c>
      <c r="M8" s="44" t="n">
        <v>500</v>
      </c>
      <c r="N8" s="45" t="n">
        <v>500</v>
      </c>
      <c r="O8" s="45" t="n">
        <v>0</v>
      </c>
      <c r="P8" s="45" t="n">
        <v>0</v>
      </c>
      <c r="Q8" s="45" t="n">
        <v>0</v>
      </c>
      <c r="R8" s="46">
        <f>SUM(L8:Q8)</f>
        <v/>
      </c>
    </row>
    <row r="9">
      <c r="B9" s="44" t="inlineStr">
        <is>
          <t>DeFi Community Ads &amp; Social Promos</t>
        </is>
      </c>
      <c r="C9" s="45" t="n"/>
      <c r="D9" s="45" t="n"/>
      <c r="E9" s="45" t="n"/>
      <c r="F9" s="45" t="n"/>
      <c r="G9" s="45" t="n"/>
      <c r="H9" s="45" t="n"/>
      <c r="I9" s="46" t="n"/>
      <c r="K9" s="44" t="inlineStr">
        <is>
          <t>Community Manager</t>
        </is>
      </c>
      <c r="L9" s="45" t="n">
        <v>300</v>
      </c>
      <c r="M9" s="45" t="n">
        <v>300</v>
      </c>
      <c r="N9" s="45" t="n">
        <v>300</v>
      </c>
      <c r="O9" s="45" t="n">
        <v>0</v>
      </c>
      <c r="P9" s="45" t="n">
        <v>0</v>
      </c>
      <c r="Q9" s="45" t="n">
        <v>0</v>
      </c>
      <c r="R9" s="46">
        <f>SUM(L9:Q9)</f>
        <v/>
      </c>
    </row>
    <row r="10">
      <c r="B10" s="47" t="inlineStr">
        <is>
          <t>Company Budget</t>
        </is>
      </c>
      <c r="C10" s="48" t="n">
        <v>200</v>
      </c>
      <c r="D10" s="48" t="n">
        <v>200</v>
      </c>
      <c r="E10" s="48" t="n">
        <v>200</v>
      </c>
      <c r="F10" s="48" t="n">
        <v>0</v>
      </c>
      <c r="G10" s="48" t="n">
        <v>0</v>
      </c>
      <c r="H10" s="48" t="n">
        <v>0</v>
      </c>
      <c r="I10" s="49">
        <f>SUM(C10:H10)</f>
        <v/>
      </c>
      <c r="K10" s="44" t="inlineStr">
        <is>
          <t>Graphic Designer</t>
        </is>
      </c>
      <c r="L10" s="45" t="n">
        <v>200</v>
      </c>
      <c r="M10" s="45" t="n">
        <v>200</v>
      </c>
      <c r="N10" s="45" t="n">
        <v>200</v>
      </c>
      <c r="O10" s="45" t="n">
        <v>0</v>
      </c>
      <c r="P10" s="45" t="n">
        <v>0</v>
      </c>
      <c r="Q10" s="45" t="n">
        <v>0</v>
      </c>
      <c r="R10" s="46">
        <f>SUM(L10:Q10)</f>
        <v/>
      </c>
    </row>
    <row r="11">
      <c r="B11" s="47" t="inlineStr">
        <is>
          <t>SDF Grant Budget</t>
        </is>
      </c>
      <c r="C11" s="48" t="n">
        <v>1200</v>
      </c>
      <c r="D11" s="48" t="n">
        <v>900</v>
      </c>
      <c r="E11" s="48" t="n">
        <v>900</v>
      </c>
      <c r="F11" s="48" t="n">
        <v>0</v>
      </c>
      <c r="G11" s="48" t="n">
        <v>0</v>
      </c>
      <c r="H11" s="48" t="n">
        <v>0</v>
      </c>
      <c r="I11" s="49">
        <f>SUM(C11:H11)</f>
        <v/>
      </c>
      <c r="K11" s="44" t="inlineStr">
        <is>
          <t>Total</t>
        </is>
      </c>
      <c r="L11" s="45">
        <f>SUM(L8:L10)</f>
        <v/>
      </c>
      <c r="M11" s="45">
        <f>SUM(M8:M10)</f>
        <v/>
      </c>
      <c r="N11" s="45">
        <f>SUM(N8:N10)</f>
        <v/>
      </c>
      <c r="O11" s="45">
        <f>SUM(O8:O10)</f>
        <v/>
      </c>
      <c r="P11" s="45">
        <f>SUM(P8:P10)</f>
        <v/>
      </c>
      <c r="Q11" s="45">
        <f>SUM(Q8:Q10)</f>
        <v/>
      </c>
      <c r="R11" s="50">
        <f>SUM(L11:Q11)</f>
        <v/>
      </c>
    </row>
    <row r="12">
      <c r="B12" s="44" t="inlineStr">
        <is>
          <t>DeFi Newsletters &amp; Sponsorships</t>
        </is>
      </c>
      <c r="C12" s="45" t="n"/>
      <c r="D12" s="45" t="n"/>
      <c r="E12" s="45" t="n"/>
      <c r="F12" s="45" t="n"/>
      <c r="G12" s="45" t="n"/>
      <c r="H12" s="45" t="n"/>
      <c r="I12" s="46" t="n"/>
    </row>
    <row r="13">
      <c r="B13" s="47" t="inlineStr">
        <is>
          <t>Company Budget</t>
        </is>
      </c>
      <c r="C13" s="48" t="n">
        <v>200</v>
      </c>
      <c r="D13" s="48" t="n">
        <v>200</v>
      </c>
      <c r="E13" s="48" t="n">
        <v>200</v>
      </c>
      <c r="F13" s="48" t="n">
        <v>0</v>
      </c>
      <c r="G13" s="48" t="n">
        <v>0</v>
      </c>
      <c r="H13" s="48" t="n">
        <v>0</v>
      </c>
      <c r="I13" s="49">
        <f>SUM(C13:H13)</f>
        <v/>
      </c>
    </row>
    <row r="14">
      <c r="B14" s="47" t="inlineStr">
        <is>
          <t>SDF Grant Budget</t>
        </is>
      </c>
      <c r="C14" s="48" t="n">
        <v>500</v>
      </c>
      <c r="D14" s="48" t="n">
        <v>500</v>
      </c>
      <c r="E14" s="48" t="n">
        <v>500</v>
      </c>
      <c r="F14" s="48" t="n">
        <v>0</v>
      </c>
      <c r="G14" s="48" t="n">
        <v>0</v>
      </c>
      <c r="H14" s="48" t="n">
        <v>0</v>
      </c>
      <c r="I14" s="49">
        <f>SUM(C14:H14)</f>
        <v/>
      </c>
    </row>
    <row r="15">
      <c r="B15" s="44" t="inlineStr">
        <is>
          <t>Community Quest &amp; Engagement Promos</t>
        </is>
      </c>
      <c r="C15" s="45" t="n"/>
      <c r="D15" s="45" t="n"/>
      <c r="E15" s="45" t="n"/>
      <c r="F15" s="45" t="n"/>
      <c r="G15" s="45" t="n"/>
      <c r="H15" s="45" t="n"/>
      <c r="I15" s="46" t="n"/>
    </row>
    <row r="16">
      <c r="B16" s="47" t="inlineStr">
        <is>
          <t>Company Budget</t>
        </is>
      </c>
      <c r="C16" s="48" t="n">
        <v>100</v>
      </c>
      <c r="D16" s="48" t="n">
        <v>100</v>
      </c>
      <c r="E16" s="48" t="n">
        <v>100</v>
      </c>
      <c r="F16" s="48" t="n">
        <v>0</v>
      </c>
      <c r="G16" s="48" t="n">
        <v>0</v>
      </c>
      <c r="H16" s="48" t="n">
        <v>0</v>
      </c>
      <c r="I16" s="49">
        <f>SUM(C16:H16)</f>
        <v/>
      </c>
    </row>
    <row r="17">
      <c r="B17" s="47" t="inlineStr">
        <is>
          <t>SDF Grant Budget</t>
        </is>
      </c>
      <c r="C17" s="48" t="n">
        <v>500</v>
      </c>
      <c r="D17" s="48" t="n">
        <v>500</v>
      </c>
      <c r="E17" s="48" t="n">
        <v>500</v>
      </c>
      <c r="F17" s="48" t="n">
        <v>0</v>
      </c>
      <c r="G17" s="48" t="n">
        <v>0</v>
      </c>
      <c r="H17" s="48" t="n">
        <v>0</v>
      </c>
      <c r="I17" s="49">
        <f>SUM(C17:H17)</f>
        <v/>
      </c>
    </row>
    <row r="18">
      <c r="I18" s="40" t="n"/>
    </row>
    <row r="19">
      <c r="B19" s="41" t="inlineStr">
        <is>
          <t>Initiative 2: B2B Payment Anchor Outreach &amp; Webinars</t>
        </is>
      </c>
      <c r="C19" s="42">
        <f>C21+C22+C24+C25+C27+C28</f>
        <v/>
      </c>
      <c r="D19" s="42">
        <f>D21+D22+D24+D25+D27+D28</f>
        <v/>
      </c>
      <c r="E19" s="42">
        <f>E21+E22+E24+E25+E27+E28</f>
        <v/>
      </c>
      <c r="F19" s="42">
        <f>F21+F22+F24+F25+F27+F28</f>
        <v/>
      </c>
      <c r="G19" s="42">
        <f>G21+G22+G24+G25+G27+G28</f>
        <v/>
      </c>
      <c r="H19" s="42">
        <f>H21+H22+H24+H25+H27+H28</f>
        <v/>
      </c>
      <c r="I19" s="43">
        <f>SUM(C19:H19)</f>
        <v/>
      </c>
    </row>
    <row r="20">
      <c r="B20" s="44" t="inlineStr">
        <is>
          <t>Fintech &amp; Remittance Conferences Outreach</t>
        </is>
      </c>
      <c r="C20" s="45" t="n"/>
      <c r="D20" s="45" t="n"/>
      <c r="E20" s="45" t="n"/>
      <c r="F20" s="45" t="n"/>
      <c r="G20" s="45" t="n"/>
      <c r="H20" s="45" t="n"/>
      <c r="I20" s="46" t="n"/>
    </row>
    <row r="21">
      <c r="B21" s="47" t="inlineStr">
        <is>
          <t>Company Budget</t>
        </is>
      </c>
      <c r="C21" s="48" t="n">
        <v>0</v>
      </c>
      <c r="D21" s="48" t="n">
        <v>200</v>
      </c>
      <c r="E21" s="48" t="n">
        <v>200</v>
      </c>
      <c r="F21" s="48" t="n">
        <v>0</v>
      </c>
      <c r="G21" s="48" t="n">
        <v>0</v>
      </c>
      <c r="H21" s="48" t="n">
        <v>0</v>
      </c>
      <c r="I21" s="49">
        <f>SUM(C21:H21)</f>
        <v/>
      </c>
    </row>
    <row r="22">
      <c r="B22" s="47" t="inlineStr">
        <is>
          <t>SDF Grant Budget</t>
        </is>
      </c>
      <c r="C22" s="48" t="n">
        <v>1000</v>
      </c>
      <c r="D22" s="48" t="n">
        <v>1000</v>
      </c>
      <c r="E22" s="48" t="n">
        <v>1000</v>
      </c>
      <c r="F22" s="48" t="n">
        <v>0</v>
      </c>
      <c r="G22" s="48" t="n">
        <v>0</v>
      </c>
      <c r="H22" s="48" t="n">
        <v>0</v>
      </c>
      <c r="I22" s="49">
        <f>SUM(C22:H22)</f>
        <v/>
      </c>
    </row>
    <row r="23">
      <c r="B23" s="44" t="inlineStr">
        <is>
          <t>B2B Integration Webinars &amp; Workshops</t>
        </is>
      </c>
      <c r="C23" s="45" t="n"/>
      <c r="D23" s="45" t="n"/>
      <c r="E23" s="45" t="n"/>
      <c r="F23" s="45" t="n"/>
      <c r="G23" s="45" t="n"/>
      <c r="H23" s="45" t="n"/>
      <c r="I23" s="46" t="n"/>
    </row>
    <row r="24">
      <c r="B24" s="47" t="inlineStr">
        <is>
          <t>Company Budget</t>
        </is>
      </c>
      <c r="C24" s="48" t="n">
        <v>100</v>
      </c>
      <c r="D24" s="48" t="n">
        <v>100</v>
      </c>
      <c r="E24" s="48" t="n">
        <v>100</v>
      </c>
      <c r="F24" s="48" t="n">
        <v>0</v>
      </c>
      <c r="G24" s="48" t="n">
        <v>0</v>
      </c>
      <c r="H24" s="48" t="n">
        <v>0</v>
      </c>
      <c r="I24" s="49">
        <f>SUM(C24:H24)</f>
        <v/>
      </c>
    </row>
    <row r="25">
      <c r="B25" s="47" t="inlineStr">
        <is>
          <t>SDF Grant Budget</t>
        </is>
      </c>
      <c r="C25" s="48" t="n">
        <v>500</v>
      </c>
      <c r="D25" s="48" t="n">
        <v>500</v>
      </c>
      <c r="E25" s="48" t="n">
        <v>500</v>
      </c>
      <c r="F25" s="48" t="n">
        <v>0</v>
      </c>
      <c r="G25" s="48" t="n">
        <v>0</v>
      </c>
      <c r="H25" s="48" t="n">
        <v>0</v>
      </c>
      <c r="I25" s="49">
        <f>SUM(C25:H25)</f>
        <v/>
      </c>
    </row>
    <row r="26">
      <c r="B26" s="44" t="inlineStr">
        <is>
          <t>Stellar Community Townhalls &amp; Twitter Spaces</t>
        </is>
      </c>
      <c r="C26" s="45" t="n"/>
      <c r="D26" s="45" t="n"/>
      <c r="E26" s="45" t="n"/>
      <c r="F26" s="45" t="n"/>
      <c r="G26" s="45" t="n"/>
      <c r="H26" s="45" t="n"/>
      <c r="I26" s="46" t="n"/>
    </row>
    <row r="27">
      <c r="B27" s="47" t="inlineStr">
        <is>
          <t>Company Budget</t>
        </is>
      </c>
      <c r="C27" s="48" t="n">
        <v>50</v>
      </c>
      <c r="D27" s="48" t="n">
        <v>50</v>
      </c>
      <c r="E27" s="48" t="n">
        <v>50</v>
      </c>
      <c r="F27" s="48" t="n">
        <v>0</v>
      </c>
      <c r="G27" s="48" t="n">
        <v>0</v>
      </c>
      <c r="H27" s="48" t="n">
        <v>0</v>
      </c>
      <c r="I27" s="49">
        <f>SUM(C27:H27)</f>
        <v/>
      </c>
    </row>
    <row r="28">
      <c r="B28" s="47" t="inlineStr">
        <is>
          <t>SDF Grant Budget</t>
        </is>
      </c>
      <c r="C28" s="48" t="n">
        <v>0</v>
      </c>
      <c r="D28" s="48" t="n">
        <v>250</v>
      </c>
      <c r="E28" s="48" t="n">
        <v>250</v>
      </c>
      <c r="F28" s="48" t="n">
        <v>0</v>
      </c>
      <c r="G28" s="48" t="n">
        <v>0</v>
      </c>
      <c r="H28" s="48" t="n">
        <v>0</v>
      </c>
      <c r="I28" s="49">
        <f>SUM(C28:H28)</f>
        <v/>
      </c>
    </row>
    <row r="29">
      <c r="I29" s="40" t="n"/>
    </row>
    <row r="30">
      <c r="B30" s="41" t="inlineStr">
        <is>
          <t>Initiative 3: DeFi &amp; Soroban PR &amp; Content</t>
        </is>
      </c>
      <c r="C30" s="42">
        <f>C32+C33+C35+C36</f>
        <v/>
      </c>
      <c r="D30" s="42">
        <f>D32+D33+D35+D36</f>
        <v/>
      </c>
      <c r="E30" s="42">
        <f>E32+E33+E35+E36</f>
        <v/>
      </c>
      <c r="F30" s="42">
        <f>F32+F33+F35+F36</f>
        <v/>
      </c>
      <c r="G30" s="42">
        <f>G32+G33+G35+G36</f>
        <v/>
      </c>
      <c r="H30" s="42">
        <f>H32+H33+H35+H36</f>
        <v/>
      </c>
      <c r="I30" s="43">
        <f>SUM(C30:H30)</f>
        <v/>
      </c>
    </row>
    <row r="31">
      <c r="B31" s="44" t="inlineStr">
        <is>
          <t>Crypto Media Press Releases &amp; PR Placement</t>
        </is>
      </c>
      <c r="C31" s="45" t="n"/>
      <c r="D31" s="45" t="n"/>
      <c r="E31" s="45" t="n"/>
      <c r="F31" s="45" t="n"/>
      <c r="G31" s="45" t="n"/>
      <c r="H31" s="45" t="n"/>
      <c r="I31" s="46" t="n"/>
    </row>
    <row r="32">
      <c r="B32" s="47" t="inlineStr">
        <is>
          <t>Company Budget</t>
        </is>
      </c>
      <c r="C32" s="48" t="n">
        <v>100</v>
      </c>
      <c r="D32" s="48" t="n">
        <v>100</v>
      </c>
      <c r="E32" s="48" t="n">
        <v>100</v>
      </c>
      <c r="F32" s="48" t="n">
        <v>0</v>
      </c>
      <c r="G32" s="48" t="n">
        <v>0</v>
      </c>
      <c r="H32" s="48" t="n">
        <v>0</v>
      </c>
      <c r="I32" s="49">
        <f>SUM(C32:H32)</f>
        <v/>
      </c>
    </row>
    <row r="33">
      <c r="B33" s="47" t="inlineStr">
        <is>
          <t>SDF Grant Budget</t>
        </is>
      </c>
      <c r="C33" s="48" t="n">
        <v>1500</v>
      </c>
      <c r="D33" s="48" t="n">
        <v>500</v>
      </c>
      <c r="E33" s="48" t="n">
        <v>500</v>
      </c>
      <c r="F33" s="48" t="n">
        <v>0</v>
      </c>
      <c r="G33" s="48" t="n">
        <v>0</v>
      </c>
      <c r="H33" s="48" t="n">
        <v>0</v>
      </c>
      <c r="I33" s="49">
        <f>SUM(C33:H33)</f>
        <v/>
      </c>
    </row>
    <row r="34">
      <c r="B34" s="44" t="inlineStr">
        <is>
          <t>Educational Video &amp; Animation Production</t>
        </is>
      </c>
      <c r="C34" s="45" t="n"/>
      <c r="D34" s="45" t="n"/>
      <c r="E34" s="45" t="n"/>
      <c r="F34" s="45" t="n"/>
      <c r="G34" s="45" t="n"/>
      <c r="H34" s="45" t="n"/>
      <c r="I34" s="46" t="n"/>
    </row>
    <row r="35">
      <c r="B35" s="47" t="inlineStr">
        <is>
          <t>Company Budget</t>
        </is>
      </c>
      <c r="C35" s="48" t="n">
        <v>100</v>
      </c>
      <c r="D35" s="48" t="n">
        <v>100</v>
      </c>
      <c r="E35" s="48" t="n">
        <v>100</v>
      </c>
      <c r="F35" s="48" t="n">
        <v>0</v>
      </c>
      <c r="G35" s="48" t="n">
        <v>0</v>
      </c>
      <c r="H35" s="48" t="n">
        <v>0</v>
      </c>
      <c r="I35" s="49">
        <f>SUM(C35:H35)</f>
        <v/>
      </c>
    </row>
    <row r="36">
      <c r="B36" s="47" t="inlineStr">
        <is>
          <t>SDF Grant Budget</t>
        </is>
      </c>
      <c r="C36" s="48" t="n">
        <v>500</v>
      </c>
      <c r="D36" s="48" t="n">
        <v>500</v>
      </c>
      <c r="E36" s="48" t="n">
        <v>500</v>
      </c>
      <c r="F36" s="48" t="n">
        <v>0</v>
      </c>
      <c r="G36" s="48" t="n">
        <v>0</v>
      </c>
      <c r="H36" s="48" t="n">
        <v>0</v>
      </c>
      <c r="I36" s="49">
        <f>SUM(C36:H36)</f>
        <v/>
      </c>
    </row>
    <row r="37">
      <c r="I37" s="40" t="n"/>
    </row>
    <row r="38">
      <c r="B38" s="44" t="inlineStr">
        <is>
          <t>Grand Total</t>
        </is>
      </c>
      <c r="C38" s="45">
        <f>C8+C19+C30</f>
        <v/>
      </c>
      <c r="D38" s="45">
        <f>D8+D19+D30</f>
        <v/>
      </c>
      <c r="E38" s="45">
        <f>E8+E19+E30</f>
        <v/>
      </c>
      <c r="F38" s="45">
        <f>F8+F19+F30</f>
        <v/>
      </c>
      <c r="G38" s="45">
        <f>G8+G19+G30</f>
        <v/>
      </c>
      <c r="H38" s="45">
        <f>H8+H19+H30</f>
        <v/>
      </c>
      <c r="I38" s="50">
        <f>SUM(C38:H38)</f>
        <v/>
      </c>
    </row>
    <row r="41">
      <c r="B41" s="36" t="inlineStr">
        <is>
          <t>If any of the KPIs in the projections table do not apply to your business please leave it blank. If any of the KPIs you track are not listed please add them to the table.</t>
        </is>
      </c>
    </row>
    <row r="42" ht="50.25" customHeight="1" s="57"/>
    <row r="44">
      <c r="B44" s="37" t="inlineStr">
        <is>
          <t>KPI Projections</t>
        </is>
      </c>
    </row>
    <row r="45">
      <c r="B45" s="41" t="inlineStr">
        <is>
          <t>KPI Projections</t>
        </is>
      </c>
      <c r="C45" s="41" t="inlineStr">
        <is>
          <t>Month 1</t>
        </is>
      </c>
      <c r="D45" s="41" t="inlineStr">
        <is>
          <t>Month 2</t>
        </is>
      </c>
      <c r="E45" s="41" t="inlineStr">
        <is>
          <t>Month 3</t>
        </is>
      </c>
      <c r="F45" s="41" t="inlineStr">
        <is>
          <t>Month 4</t>
        </is>
      </c>
      <c r="G45" s="41" t="inlineStr">
        <is>
          <t>Month 5</t>
        </is>
      </c>
      <c r="H45" s="41" t="inlineStr">
        <is>
          <t>Month 6</t>
        </is>
      </c>
      <c r="I45" s="51" t="inlineStr">
        <is>
          <t>Total</t>
        </is>
      </c>
      <c r="J45" s="52" t="n"/>
    </row>
    <row r="46">
      <c r="B46" s="55" t="inlineStr">
        <is>
          <t>New Users</t>
        </is>
      </c>
      <c r="C46" s="55" t="n">
        <v>50</v>
      </c>
      <c r="D46" s="55" t="n">
        <v>100</v>
      </c>
      <c r="E46" s="55" t="n">
        <v>150</v>
      </c>
      <c r="F46" s="55" t="n">
        <v>0</v>
      </c>
      <c r="G46" s="55" t="n">
        <v>0</v>
      </c>
      <c r="H46" s="55" t="n">
        <v>0</v>
      </c>
      <c r="I46" s="54">
        <f>SUM(C46:H46)</f>
        <v/>
      </c>
      <c r="J46" s="52" t="n"/>
    </row>
    <row r="47">
      <c r="B47" s="55" t="inlineStr">
        <is>
          <t>Transacting Users</t>
        </is>
      </c>
      <c r="C47" s="55" t="n">
        <v>10</v>
      </c>
      <c r="D47" s="55" t="n">
        <v>30</v>
      </c>
      <c r="E47" s="55" t="n">
        <v>60</v>
      </c>
      <c r="F47" s="55" t="n">
        <v>0</v>
      </c>
      <c r="G47" s="55" t="n">
        <v>0</v>
      </c>
      <c r="H47" s="55" t="n">
        <v>0</v>
      </c>
      <c r="I47" s="54">
        <f>SUM(C47:H47)</f>
        <v/>
      </c>
      <c r="J47" s="52" t="n"/>
    </row>
    <row r="48">
      <c r="B48" s="55" t="inlineStr">
        <is>
          <t>Cost/Acquisition (CAC)</t>
        </is>
      </c>
      <c r="C48" s="55">
        <f>C38/C46</f>
        <v/>
      </c>
      <c r="D48" s="55">
        <f>D38/D46</f>
        <v/>
      </c>
      <c r="E48" s="55">
        <f>E38/E46</f>
        <v/>
      </c>
      <c r="F48" s="55" t="n">
        <v>0</v>
      </c>
      <c r="G48" s="55" t="n">
        <v>0</v>
      </c>
      <c r="H48" s="55" t="n">
        <v>0</v>
      </c>
      <c r="I48" s="54">
        <f>I38/I46</f>
        <v/>
      </c>
      <c r="J48" s="52" t="n"/>
    </row>
    <row r="49">
      <c r="B49" s="55" t="inlineStr">
        <is>
          <t>Transaction Volume</t>
        </is>
      </c>
      <c r="C49" s="55" t="n">
        <v>20</v>
      </c>
      <c r="D49" s="55" t="n">
        <v>80</v>
      </c>
      <c r="E49" s="55" t="n">
        <v>200</v>
      </c>
      <c r="F49" s="55" t="n">
        <v>0</v>
      </c>
      <c r="G49" s="55" t="n">
        <v>0</v>
      </c>
      <c r="H49" s="55" t="n">
        <v>0</v>
      </c>
      <c r="I49" s="54">
        <f>SUM(C49:H49)</f>
        <v/>
      </c>
      <c r="J49" s="52" t="n"/>
    </row>
    <row r="50">
      <c r="B50" s="55" t="inlineStr">
        <is>
          <t>Total Transaction Volume (USD</t>
        </is>
      </c>
      <c r="C50" s="55" t="n">
        <v>20000</v>
      </c>
      <c r="D50" s="55" t="n">
        <v>80000</v>
      </c>
      <c r="E50" s="55" t="n">
        <v>200000</v>
      </c>
      <c r="F50" s="55" t="n">
        <v>0</v>
      </c>
      <c r="G50" s="55" t="n">
        <v>0</v>
      </c>
      <c r="H50" s="55" t="n">
        <v>0</v>
      </c>
      <c r="I50" s="54">
        <f>SUM(C50:H50)</f>
        <v/>
      </c>
      <c r="J50" s="52" t="n"/>
    </row>
    <row r="51">
      <c r="B51" s="55" t="inlineStr">
        <is>
          <t>Estimated % of Transactions on the Stellar Network</t>
        </is>
      </c>
      <c r="C51" s="55" t="n">
        <v>1</v>
      </c>
      <c r="D51" s="55" t="n">
        <v>1</v>
      </c>
      <c r="E51" s="55" t="n">
        <v>1</v>
      </c>
      <c r="F51" s="55" t="n">
        <v>0</v>
      </c>
      <c r="G51" s="55" t="n">
        <v>0</v>
      </c>
      <c r="H51" s="55" t="n">
        <v>0</v>
      </c>
      <c r="I51" s="56">
        <f>AVERAGE(C51:E51)</f>
        <v/>
      </c>
    </row>
  </sheetData>
  <mergeCells count="5">
    <mergeCell ref="K5:Q5"/>
    <mergeCell ref="B44:I44"/>
    <mergeCell ref="B5:I5"/>
    <mergeCell ref="B41:B42"/>
    <mergeCell ref="B2: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2026-06-12T18:03:17Z</dcterms:created>
  <dcterms:modified xmlns:dcterms="http://purl.org/dc/terms/" xmlns:xsi="http://www.w3.org/2001/XMLSchema-instance" xsi:type="dcterms:W3CDTF">2026-06-12T18:03:17Z</dcterms:modified>
</cp:coreProperties>
</file>